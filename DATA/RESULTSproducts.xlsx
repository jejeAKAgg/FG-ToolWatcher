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MPN</t>
        </is>
      </c>
      <c r="B1" s="1" t="inlineStr">
        <is>
          <t>Société</t>
        </is>
      </c>
      <c r="C1" s="1" t="inlineStr">
        <is>
          <t>Article</t>
        </is>
      </c>
      <c r="D1" s="1" t="inlineStr">
        <is>
          <t>Marque</t>
        </is>
      </c>
      <c r="E1" s="1" t="inlineStr">
        <is>
          <t>Prix (HTVA)</t>
        </is>
      </c>
      <c r="F1" s="1" t="inlineStr">
        <is>
          <t>Prix (TVA)</t>
        </is>
      </c>
      <c r="G1" s="1" t="inlineStr">
        <is>
          <t>Ancien Prix (HTVA)</t>
        </is>
      </c>
      <c r="H1" s="1" t="inlineStr">
        <is>
          <t>Evolution du prix</t>
        </is>
      </c>
      <c r="I1" s="1" t="inlineStr">
        <is>
          <t>Offres</t>
        </is>
      </c>
      <c r="J1" s="1" t="inlineStr">
        <is>
          <t>Stock</t>
        </is>
      </c>
      <c r="K1" s="1" t="inlineStr">
        <is>
          <t>Checked on</t>
        </is>
      </c>
    </row>
    <row r="2">
      <c r="A2" t="inlineStr">
        <is>
          <t>REF-0601390909</t>
        </is>
      </c>
      <c r="B2" t="inlineStr">
        <is>
          <t>CIPAC</t>
        </is>
      </c>
      <c r="C2">
        <f>HYPERLINK("https://www.cipac.be/bosch-perceuse-angulaire-sans-fil-gwb-12v-10-c-g-chargeur-et-batterie-li-ion-non-livree-0601390909-0601390909"; "BOSCH - PERCEUSE ANGULAIRE SANS FIL GWB 12V 10 C&amp;G CHARGEUR ET BATTERIE LI ION NON LIVRÉE 0601390909DÉSTOCKAGE")</f>
        <v/>
      </c>
      <c r="D2" t="inlineStr">
        <is>
          <t>BOSCH</t>
        </is>
      </c>
      <c r="E2" t="inlineStr">
        <is>
          <t>150,10</t>
        </is>
      </c>
      <c r="F2" t="inlineStr">
        <is>
          <t>181,62</t>
        </is>
      </c>
      <c r="G2" t="inlineStr">
        <is>
          <t>TODO</t>
        </is>
      </c>
      <c r="H2" t="inlineStr">
        <is>
          <t>TODO</t>
        </is>
      </c>
      <c r="I2" t="inlineStr">
        <is>
          <t>-</t>
        </is>
      </c>
      <c r="J2" t="b">
        <v>1</v>
      </c>
      <c r="K2" t="inlineStr">
        <is>
          <t>2025-08-07 21:38:09</t>
        </is>
      </c>
    </row>
    <row r="3">
      <c r="A3" t="inlineStr">
        <is>
          <t>REF-0601390909</t>
        </is>
      </c>
      <c r="B3" t="inlineStr">
        <is>
          <t>CLABOTS</t>
        </is>
      </c>
      <c r="C3" t="inlineStr">
        <is>
          <t>Produit indisponible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2025-08-07 21:39:45</t>
        </is>
      </c>
    </row>
    <row r="4">
      <c r="A4" t="inlineStr">
        <is>
          <t>REF-0601390909</t>
        </is>
      </c>
      <c r="B4" t="inlineStr">
        <is>
          <t>FIXAMI</t>
        </is>
      </c>
      <c r="C4" t="inlineStr">
        <is>
          <t>Produit indisponible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2025-08-07 21:43:00</t>
        </is>
      </c>
    </row>
    <row r="5">
      <c r="A5" t="inlineStr">
        <is>
          <t>REF-0601390909</t>
        </is>
      </c>
      <c r="B5" t="inlineStr">
        <is>
          <t>KLIUM</t>
        </is>
      </c>
      <c r="C5">
        <f>HYPERLINK("https://www.klium.be/fr/bosch-gwb-12-v-10-perceuse-d-angle-en-l-boxx-102-sans-batterie-ni-chargeur-0601390909-121142"; "BOSCH - GWB 12 V 10 PERCEUSE D'ANGLE EN L BOXX 102 0601390909")</f>
        <v/>
      </c>
      <c r="D5" t="inlineStr">
        <is>
          <t>BOSCH</t>
        </is>
      </c>
      <c r="E5" t="inlineStr">
        <is>
          <t>113,25</t>
        </is>
      </c>
      <c r="F5" t="inlineStr">
        <is>
          <t>137,03</t>
        </is>
      </c>
      <c r="G5" t="inlineStr">
        <is>
          <t>TODO</t>
        </is>
      </c>
      <c r="H5" t="inlineStr">
        <is>
          <t>TODO</t>
        </is>
      </c>
      <c r="I5" t="inlineStr">
        <is>
          <t>-</t>
        </is>
      </c>
      <c r="J5" t="b">
        <v>0</v>
      </c>
      <c r="K5" t="inlineStr">
        <is>
          <t>2025-08-07 21:45:07</t>
        </is>
      </c>
    </row>
    <row r="6">
      <c r="A6" t="inlineStr">
        <is>
          <t>REF-102392</t>
        </is>
      </c>
      <c r="B6" t="inlineStr">
        <is>
          <t>CIPAC</t>
        </is>
      </c>
      <c r="C6">
        <f>HYPERLINK("https://www.cipac.be/soudal-silirub-2-blanc-cartouche-310-ml-102392-102392"; "SOUDAL - SILIRUB 2 BLANC CARTOUCHE 102392DÉSTOCKAGE")</f>
        <v/>
      </c>
      <c r="D6" t="inlineStr">
        <is>
          <t>SOUDAL</t>
        </is>
      </c>
      <c r="E6" t="inlineStr">
        <is>
          <t>4,99</t>
        </is>
      </c>
      <c r="F6" t="inlineStr">
        <is>
          <t>6,03</t>
        </is>
      </c>
      <c r="G6" t="inlineStr">
        <is>
          <t>TODO</t>
        </is>
      </c>
      <c r="H6" t="inlineStr">
        <is>
          <t>TODO</t>
        </is>
      </c>
      <c r="I6" t="inlineStr">
        <is>
          <t>-</t>
        </is>
      </c>
      <c r="J6" t="b">
        <v>1</v>
      </c>
      <c r="K6" t="inlineStr">
        <is>
          <t>2025-08-07 21:37:07</t>
        </is>
      </c>
    </row>
    <row r="7">
      <c r="A7" t="inlineStr">
        <is>
          <t>REF-102392</t>
        </is>
      </c>
      <c r="B7" t="inlineStr">
        <is>
          <t>CLABOTS</t>
        </is>
      </c>
      <c r="C7">
        <f>HYPERLINK("https://www.clabots.be/fr/silirub-a2-neutre-310-ml"; "SILIRUB A2 NEUTRE")</f>
        <v/>
      </c>
      <c r="D7" t="inlineStr"/>
      <c r="E7" t="inlineStr">
        <is>
          <t>5,98</t>
        </is>
      </c>
      <c r="F7" t="inlineStr">
        <is>
          <t>7,23</t>
        </is>
      </c>
      <c r="G7" t="inlineStr">
        <is>
          <t>TODO</t>
        </is>
      </c>
      <c r="H7" t="inlineStr">
        <is>
          <t>TODO</t>
        </is>
      </c>
      <c r="I7" t="inlineStr">
        <is>
          <t>-</t>
        </is>
      </c>
      <c r="J7" t="b">
        <v>0</v>
      </c>
      <c r="K7" t="inlineStr">
        <is>
          <t>2025-08-07 21:39:11</t>
        </is>
      </c>
    </row>
    <row r="8">
      <c r="A8" t="inlineStr">
        <is>
          <t>REF-102392</t>
        </is>
      </c>
      <c r="B8" t="inlineStr">
        <is>
          <t>FIXAMI</t>
        </is>
      </c>
      <c r="C8" t="inlineStr">
        <is>
          <t>Produit indisponible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2025-08-07 21:41:19</t>
        </is>
      </c>
    </row>
    <row r="9">
      <c r="A9" t="inlineStr">
        <is>
          <t>REF-102392</t>
        </is>
      </c>
      <c r="B9" t="inlineStr">
        <is>
          <t>KLIUM</t>
        </is>
      </c>
      <c r="C9">
        <f>HYPERLINK("https://www.klium.be/fr/soudal-silirub-2-silicone-neutre-blanc-310-ml-102392-107168"; "SOUDAL - SILIRUB 2 SILICONE NEUTRE BLANC 102392")</f>
        <v/>
      </c>
      <c r="D9" t="inlineStr">
        <is>
          <t>SOUDAL</t>
        </is>
      </c>
      <c r="E9" t="inlineStr">
        <is>
          <t>4,97</t>
        </is>
      </c>
      <c r="F9" t="inlineStr">
        <is>
          <t>6,01</t>
        </is>
      </c>
      <c r="G9" t="inlineStr">
        <is>
          <t>TODO</t>
        </is>
      </c>
      <c r="H9" t="inlineStr">
        <is>
          <t>TODO</t>
        </is>
      </c>
      <c r="I9" t="inlineStr">
        <is>
          <t>À partir de 1 pièce: 6.01€
À partir de 15 pièces: 5.71€ (- 4,51 €)
À partir de 30 pièces: 5.56€ (- 13,53 €)
À partir de 45 pièces: 5.41€ (- 27,06 €)</t>
        </is>
      </c>
      <c r="J9" t="b">
        <v>1</v>
      </c>
      <c r="K9" t="inlineStr">
        <is>
          <t>2025-08-07 21:44:01</t>
        </is>
      </c>
    </row>
    <row r="10">
      <c r="A10" t="inlineStr">
        <is>
          <t>REF-105829</t>
        </is>
      </c>
      <c r="B10" t="inlineStr">
        <is>
          <t>CIPAC</t>
        </is>
      </c>
      <c r="C10" t="inlineStr">
        <is>
          <t>Produit indisponible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2025-08-07 21:36:38</t>
        </is>
      </c>
    </row>
    <row r="11">
      <c r="A11" t="inlineStr">
        <is>
          <t>REF-105829</t>
        </is>
      </c>
      <c r="B11" t="inlineStr">
        <is>
          <t>CLABOTS</t>
        </is>
      </c>
      <c r="C11" t="inlineStr">
        <is>
          <t>Produit indisponible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2025-08-07 21:38:38</t>
        </is>
      </c>
    </row>
    <row r="12">
      <c r="A12" t="inlineStr">
        <is>
          <t>REF-105829</t>
        </is>
      </c>
      <c r="B12" t="inlineStr">
        <is>
          <t>FIXAMI</t>
        </is>
      </c>
      <c r="C12" t="inlineStr">
        <is>
          <t>Produit indisponible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2025-08-07 21:40:28</t>
        </is>
      </c>
    </row>
    <row r="13">
      <c r="A13" t="inlineStr">
        <is>
          <t>REF-105829</t>
        </is>
      </c>
      <c r="B13" t="inlineStr">
        <is>
          <t>KLIUM</t>
        </is>
      </c>
      <c r="C13">
        <f>HYPERLINK("https://www.klium.be/fr/soudal-silirub-color-silicone-neutre-ral-5011-bleu-acier-310-ml-105829-124946"; "SOUDAL - SILIRUB COLOR SILICONE NEUTRE BLEU ACIER 105829")</f>
        <v/>
      </c>
      <c r="D13" t="inlineStr">
        <is>
          <t>SOUDAL</t>
        </is>
      </c>
      <c r="E13" t="inlineStr">
        <is>
          <t>6,86</t>
        </is>
      </c>
      <c r="F13" t="inlineStr">
        <is>
          <t>8,30</t>
        </is>
      </c>
      <c r="G13" t="inlineStr">
        <is>
          <t>TODO</t>
        </is>
      </c>
      <c r="H13" t="inlineStr">
        <is>
          <t>TODO</t>
        </is>
      </c>
      <c r="I13" t="inlineStr">
        <is>
          <t>À partir de 15 pièce: 8.30€
À partir de 30 pièces: 7.47€ (- 24,89 €)
À partir de 45 pièces: 7.05€ (- 56,00 €)</t>
        </is>
      </c>
      <c r="J13" t="b">
        <v>0</v>
      </c>
      <c r="K13" t="inlineStr">
        <is>
          <t>2025-08-07 21:43:31</t>
        </is>
      </c>
    </row>
    <row r="14">
      <c r="A14" t="inlineStr">
        <is>
          <t>REF-DCB1104P3-QW</t>
        </is>
      </c>
      <c r="B14" t="inlineStr">
        <is>
          <t>CIPAC</t>
        </is>
      </c>
      <c r="C14">
        <f>HYPERLINK("https://www.cipac.be/dewalt-set-de-3x-18v-xr-li-ion-5-0ah-accu-chargeur-xr-multivoltage-dcb1104p3-qw-dcb1104p3-qw?"; "DEWALT - SET DE 18V XR LI ION 5,0AH ACCU + CHARGEUR XR MULTIVOLTAGE DCB1104P3 QWDÉSTOCKAGE")</f>
        <v/>
      </c>
      <c r="D14" t="inlineStr">
        <is>
          <t>DEWALT</t>
        </is>
      </c>
      <c r="E14" t="inlineStr">
        <is>
          <t>249,00</t>
        </is>
      </c>
      <c r="F14" t="inlineStr">
        <is>
          <t>301,29</t>
        </is>
      </c>
      <c r="G14" t="inlineStr">
        <is>
          <t>TODO</t>
        </is>
      </c>
      <c r="H14" t="inlineStr">
        <is>
          <t>TODO</t>
        </is>
      </c>
      <c r="I14" t="inlineStr">
        <is>
          <t>-</t>
        </is>
      </c>
      <c r="J14" t="b">
        <v>0</v>
      </c>
      <c r="K14" t="inlineStr">
        <is>
          <t>2025-08-07 21:37:42</t>
        </is>
      </c>
    </row>
    <row r="15">
      <c r="A15" t="inlineStr">
        <is>
          <t>REF-DCB1104P3-QW</t>
        </is>
      </c>
      <c r="B15" t="inlineStr">
        <is>
          <t>CLABOTS</t>
        </is>
      </c>
      <c r="C15" t="inlineStr">
        <is>
          <t>Produit indisponible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2025-08-07 21:39:29</t>
        </is>
      </c>
    </row>
    <row r="16">
      <c r="A16" t="inlineStr">
        <is>
          <t>REF-DCB1104P3-QW</t>
        </is>
      </c>
      <c r="B16" t="inlineStr">
        <is>
          <t>FIXAMI</t>
        </is>
      </c>
      <c r="C16">
        <f>HYPERLINK("https://www.fixami.be/fr/dewalt-dcb1104p3-kit-de-demarrage-batterie-li-ion-18v-3x-5.0ah-chargeur.html"; "DEWALT - DCB1104P3 KIT DE DÉMARRAGE BATTERIE LI ION 18V + CHARGEUR")</f>
        <v/>
      </c>
      <c r="D16" t="inlineStr">
        <is>
          <t>DEWALT</t>
        </is>
      </c>
      <c r="E16" t="inlineStr">
        <is>
          <t>189,05</t>
        </is>
      </c>
      <c r="F16" t="inlineStr">
        <is>
          <t>228,75</t>
        </is>
      </c>
      <c r="G16" t="inlineStr">
        <is>
          <t>TODO</t>
        </is>
      </c>
      <c r="H16" t="inlineStr">
        <is>
          <t>TODO</t>
        </is>
      </c>
      <c r="I16" t="inlineStr">
        <is>
          <t>-</t>
        </is>
      </c>
      <c r="J16" t="b">
        <v>1</v>
      </c>
      <c r="K16" t="inlineStr">
        <is>
          <t>2025-08-07 21:42:09</t>
        </is>
      </c>
    </row>
    <row r="17">
      <c r="A17" t="inlineStr">
        <is>
          <t>REF-DCB1104P3-QW</t>
        </is>
      </c>
      <c r="B17" t="inlineStr">
        <is>
          <t>KLIUM</t>
        </is>
      </c>
      <c r="C17">
        <f>HYPERLINK("https://www.klium.be/fr/dewalt-dcb1104p3-qw-kit-de-chargement-de-la-batterie-18v-xr-3x-50ah-batterie-multi-chargeur-122568"; "DEWALT - DCB1104P3 QW KIT DE CHARGEMENT DE LA BATTERIE 18V XR")</f>
        <v/>
      </c>
      <c r="D17" t="inlineStr">
        <is>
          <t>DEWALT</t>
        </is>
      </c>
      <c r="E17" t="inlineStr">
        <is>
          <t>267,88</t>
        </is>
      </c>
      <c r="F17" t="inlineStr">
        <is>
          <t>324,13</t>
        </is>
      </c>
      <c r="G17" t="inlineStr">
        <is>
          <t>TODO</t>
        </is>
      </c>
      <c r="H17" t="inlineStr">
        <is>
          <t>TODO</t>
        </is>
      </c>
      <c r="I17" t="inlineStr">
        <is>
          <t>-</t>
        </is>
      </c>
      <c r="J17" t="b">
        <v>0</v>
      </c>
      <c r="K17" t="inlineStr">
        <is>
          <t>2025-08-07 21:44:40</t>
        </is>
      </c>
    </row>
    <row r="18">
      <c r="A18" t="inlineStr">
        <is>
          <t>REF-DGA506Z</t>
        </is>
      </c>
      <c r="B18" t="inlineStr">
        <is>
          <t>CIPAC</t>
        </is>
      </c>
      <c r="C18">
        <f>HYPERLINK("https://www.cipac.be/makita-meuleuse-125mm-sur-accu-lxt-18v-sans-accus-ni-chargeur-dans-une-boite-en-carton-dga506z-dga506z?"; "MAKITA - MEULEUSE SUR ACCU LXT 18V DGA506ZDÉSTOCKAGE")</f>
        <v/>
      </c>
      <c r="D18" t="inlineStr">
        <is>
          <t>MAKITA</t>
        </is>
      </c>
      <c r="E18" t="inlineStr">
        <is>
          <t>163,93</t>
        </is>
      </c>
      <c r="F18" t="inlineStr">
        <is>
          <t>198,36</t>
        </is>
      </c>
      <c r="G18" t="inlineStr">
        <is>
          <t>TODO</t>
        </is>
      </c>
      <c r="H18" t="inlineStr">
        <is>
          <t>TODO</t>
        </is>
      </c>
      <c r="I18" t="inlineStr">
        <is>
          <t>-</t>
        </is>
      </c>
      <c r="J18" t="b">
        <v>1</v>
      </c>
      <c r="K18" t="inlineStr">
        <is>
          <t>2025-08-07 21:36:56</t>
        </is>
      </c>
    </row>
    <row r="19">
      <c r="A19" t="inlineStr">
        <is>
          <t>REF-DGA506Z</t>
        </is>
      </c>
      <c r="B19" t="inlineStr">
        <is>
          <t>CLABOTS</t>
        </is>
      </c>
      <c r="C19" t="inlineStr">
        <is>
          <t>Produit indisponible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2025-08-07 21:38:53</t>
        </is>
      </c>
    </row>
    <row r="20">
      <c r="A20" t="inlineStr">
        <is>
          <t>REF-DGA506Z</t>
        </is>
      </c>
      <c r="B20" t="inlineStr">
        <is>
          <t>FIXAMI</t>
        </is>
      </c>
      <c r="C20">
        <f>HYPERLINK("https://www.fixami.be/fr/makita-dga506z-meuleuse-d-angle-sans-fil-18v-li-ion-125-mm-softstart-brushless-machine-seule.html"; "MAKITA - DGA506Z MEULEUSE D'ANGLE SANS FIL 18V LI ION SOFTSTART BRUSHLESS MACHINE SEULE")</f>
        <v/>
      </c>
      <c r="D20" t="inlineStr">
        <is>
          <t>MAKITA</t>
        </is>
      </c>
      <c r="E20" t="inlineStr">
        <is>
          <t>121,48</t>
        </is>
      </c>
      <c r="F20" t="inlineStr">
        <is>
          <t>146,99</t>
        </is>
      </c>
      <c r="G20" t="inlineStr">
        <is>
          <t>TODO</t>
        </is>
      </c>
      <c r="H20" t="inlineStr">
        <is>
          <t>TODO</t>
        </is>
      </c>
      <c r="I20" t="inlineStr">
        <is>
          <t>À partir de 1 pièce: 146.99€
À partir de 2 pièces: 144.05€ (2%)
À partir de 3 pièces: 142.58€ (3%)
À partir de 4 pièces: 141.11€ (4%)</t>
        </is>
      </c>
      <c r="J20" t="b">
        <v>1</v>
      </c>
      <c r="K20" t="inlineStr">
        <is>
          <t>2025-08-07 21:40:53</t>
        </is>
      </c>
    </row>
    <row r="21">
      <c r="A21" t="inlineStr">
        <is>
          <t>REF-DGA506Z</t>
        </is>
      </c>
      <c r="B21" t="inlineStr">
        <is>
          <t>KLIUM</t>
        </is>
      </c>
      <c r="C21">
        <f>HYPERLINK("https://www.klium.be/fr/makita-dga506z-meuleuse-d-angle-sans-fil-18v-lxt-125mm-avec-interrupteur-a-glissiere-dans-une-boite-en-carton-sans-batterie-ni-107221"; "MAKITA - DGA506Z MEULEUSE D'ANGLE SANS FIL 18V LXT AVEC INTERRUPTEUR À GLISSIÈRE DANS UNE BOÎTE EN CARTON (SANS BATTERIE NI")</f>
        <v/>
      </c>
      <c r="D21" t="inlineStr">
        <is>
          <t>MAKITA</t>
        </is>
      </c>
      <c r="E21" t="inlineStr">
        <is>
          <t>122,87</t>
        </is>
      </c>
      <c r="F21" t="inlineStr">
        <is>
          <t>148,68</t>
        </is>
      </c>
      <c r="G21" t="inlineStr">
        <is>
          <t>TODO</t>
        </is>
      </c>
      <c r="H21" t="inlineStr">
        <is>
          <t>TODO</t>
        </is>
      </c>
      <c r="I21" t="inlineStr">
        <is>
          <t>-</t>
        </is>
      </c>
      <c r="J21" t="b">
        <v>1</v>
      </c>
      <c r="K21" t="inlineStr">
        <is>
          <t>2025-08-07 21:43:46</t>
        </is>
      </c>
    </row>
    <row r="22">
      <c r="A22" t="inlineStr">
        <is>
          <t>REF-FS4000JX2</t>
        </is>
      </c>
      <c r="B22" t="inlineStr">
        <is>
          <t>CIPAC</t>
        </is>
      </c>
      <c r="C22">
        <f>HYPERLINK("https://www.cipac.be/makita-visseuse-pour-plaques-de-platre-570w-avec-adaptateur-pour-vis-a-bande-fs4000jx2-fs4000jx2?"; "MAKITA - VISSEUSE POUR PLAQUES DE PLÂTRE 570W AVEC ADAPTATEUR POUR VIS À BANDE FS4000JX2DÉSTOCKAGE")</f>
        <v/>
      </c>
      <c r="D22" t="inlineStr">
        <is>
          <t>MAKITA</t>
        </is>
      </c>
      <c r="E22" t="inlineStr">
        <is>
          <t>193,03</t>
        </is>
      </c>
      <c r="F22" t="inlineStr">
        <is>
          <t>233,57</t>
        </is>
      </c>
      <c r="G22" t="inlineStr">
        <is>
          <t>TODO</t>
        </is>
      </c>
      <c r="H22" t="inlineStr">
        <is>
          <t>TODO</t>
        </is>
      </c>
      <c r="I22" t="inlineStr">
        <is>
          <t>-</t>
        </is>
      </c>
      <c r="J22" t="b">
        <v>1</v>
      </c>
      <c r="K22" t="inlineStr">
        <is>
          <t>2025-08-07 21:38:27</t>
        </is>
      </c>
    </row>
    <row r="23">
      <c r="A23" t="inlineStr">
        <is>
          <t>REF-FS4000JX2</t>
        </is>
      </c>
      <c r="B23" t="inlineStr">
        <is>
          <t>CLABOTS</t>
        </is>
      </c>
      <c r="C23">
        <f>HYPERLINK("https://www.clabots.be/fr/visseuse-pour-plaques-de-platre-makita-230v-fs4000jx2"; "MAKITA - VISSEUSE POUR PLAQUES DE PLATRE  230V FS4000JX2")</f>
        <v/>
      </c>
      <c r="D23" t="inlineStr">
        <is>
          <t>MAKITA</t>
        </is>
      </c>
      <c r="E23" t="inlineStr">
        <is>
          <t>100,00</t>
        </is>
      </c>
      <c r="F23" t="inlineStr">
        <is>
          <t>121,00</t>
        </is>
      </c>
      <c r="G23" t="inlineStr">
        <is>
          <t>TODO</t>
        </is>
      </c>
      <c r="H23" t="inlineStr">
        <is>
          <t>TODO</t>
        </is>
      </c>
      <c r="I23" t="inlineStr">
        <is>
          <t>-</t>
        </is>
      </c>
      <c r="J23" t="b">
        <v>0</v>
      </c>
      <c r="K23" t="inlineStr">
        <is>
          <t>2025-08-07 21:39:59</t>
        </is>
      </c>
    </row>
    <row r="24">
      <c r="A24" t="inlineStr">
        <is>
          <t>REF-FS4000JX2</t>
        </is>
      </c>
      <c r="B24" t="inlineStr">
        <is>
          <t>FIXAMI</t>
        </is>
      </c>
      <c r="C24" t="inlineStr">
        <is>
          <t>Produit indisponible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2025-08-07 21:43:14</t>
        </is>
      </c>
    </row>
    <row r="25">
      <c r="A25" t="inlineStr">
        <is>
          <t>REF-FS4000JX2</t>
        </is>
      </c>
      <c r="B25" t="inlineStr">
        <is>
          <t>KLIUM</t>
        </is>
      </c>
      <c r="C25">
        <f>HYPERLINK("https://www.klium.be/fr/makita-fs4000jx2-visseuse-pour-plaques-de-platre-570w-adaptateur-tournevis-en-mallette-106851"; "MAKITA - FS4000JX2 VISSEUSE POUR PLAQUES DE PLÂTRE 570W + ADAPTATEUR TOURNEVIS EN MALLETTE")</f>
        <v/>
      </c>
      <c r="D25" t="inlineStr">
        <is>
          <t>MAKITA</t>
        </is>
      </c>
      <c r="E25" t="inlineStr">
        <is>
          <t>169,65</t>
        </is>
      </c>
      <c r="F25" t="inlineStr">
        <is>
          <t>205,28</t>
        </is>
      </c>
      <c r="G25" t="inlineStr">
        <is>
          <t>TODO</t>
        </is>
      </c>
      <c r="H25" t="inlineStr">
        <is>
          <t>TODO</t>
        </is>
      </c>
      <c r="I25" t="inlineStr">
        <is>
          <t>-</t>
        </is>
      </c>
      <c r="J25" t="b">
        <v>0</v>
      </c>
      <c r="K25" t="inlineStr">
        <is>
          <t>2025-08-07 21:45:21</t>
        </is>
      </c>
    </row>
    <row r="26">
      <c r="A26" t="inlineStr">
        <is>
          <t>REF-G23SW2W7Z</t>
        </is>
      </c>
      <c r="B26" t="inlineStr">
        <is>
          <t>CIPAC</t>
        </is>
      </c>
      <c r="C26">
        <f>HYPERLINK("https://www.cipac.be/hikoki-meuleuse-d-angle-230v-2-200-w-230mm-interrupteur-homme-mort-avec-disque-diamante-en-boite-carton-g23sw2w7z-g23sw2w7z?"; "HIKOKI - MEULEUSE D""ANGLE 230V 2.200 W INTERRUPTEUR HOMME MORT AVEC DISQUE DIAMANTE EN BOÎTE CARTON G23SW2W7ZDÉSTOCKAGE")</f>
        <v/>
      </c>
      <c r="D26" t="inlineStr">
        <is>
          <t>HIKOKI</t>
        </is>
      </c>
      <c r="E26" t="inlineStr">
        <is>
          <t>79,00</t>
        </is>
      </c>
      <c r="F26" t="inlineStr">
        <is>
          <t>95,59</t>
        </is>
      </c>
      <c r="G26" t="inlineStr">
        <is>
          <t>TODO</t>
        </is>
      </c>
      <c r="H26" t="inlineStr">
        <is>
          <t>TODO</t>
        </is>
      </c>
      <c r="I26" t="inlineStr">
        <is>
          <t>-</t>
        </is>
      </c>
      <c r="J26" t="b">
        <v>1</v>
      </c>
      <c r="K26" t="inlineStr">
        <is>
          <t>2025-08-07 21:37:58</t>
        </is>
      </c>
    </row>
    <row r="27">
      <c r="A27" t="inlineStr">
        <is>
          <t>REF-G23SW2W7Z</t>
        </is>
      </c>
      <c r="B27" t="inlineStr">
        <is>
          <t>CLABOTS</t>
        </is>
      </c>
      <c r="C27" t="inlineStr">
        <is>
          <t>Produit indisponible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2025-08-07 21:39:37</t>
        </is>
      </c>
    </row>
    <row r="28">
      <c r="A28" t="inlineStr">
        <is>
          <t>REF-G23SW2W7Z</t>
        </is>
      </c>
      <c r="B28" t="inlineStr">
        <is>
          <t>FIXAMI</t>
        </is>
      </c>
      <c r="C28">
        <f>HYPERLINK("https://www.fixami.be/fr/hikoki-g23sw2w7z-meuleuse-d-angle-230-mm-2.200-w.html"; "HIKOKI - G23SW2W7Z MEULEUSE D'ANGLE 2.200 W")</f>
        <v/>
      </c>
      <c r="D28" t="inlineStr">
        <is>
          <t>HIKOKI</t>
        </is>
      </c>
      <c r="E28" t="inlineStr">
        <is>
          <t>76,33</t>
        </is>
      </c>
      <c r="F28" t="inlineStr">
        <is>
          <t>92,36</t>
        </is>
      </c>
      <c r="G28" t="inlineStr">
        <is>
          <t>TODO</t>
        </is>
      </c>
      <c r="H28" t="inlineStr">
        <is>
          <t>TODO</t>
        </is>
      </c>
      <c r="I28" t="inlineStr">
        <is>
          <t>À partir de 1 pièce: 92.36€
À partir de 2 pièces: 90.51€ (2%)
À partir de 3 pièces: 89.59€ (3%)
À partir de 4 pièces: 88.67€ (4%)</t>
        </is>
      </c>
      <c r="J28" t="b">
        <v>1</v>
      </c>
      <c r="K28" t="inlineStr">
        <is>
          <t>2025-08-07 21:42:34</t>
        </is>
      </c>
    </row>
    <row r="29">
      <c r="A29" t="inlineStr">
        <is>
          <t>REF-G23SW2W7Z</t>
        </is>
      </c>
      <c r="B29" t="inlineStr">
        <is>
          <t>KLIUM</t>
        </is>
      </c>
      <c r="C29">
        <f>HYPERLINK("https://www.klium.be/fr/hikoki-g23sw2w7z-meuleuse-d-angle-230-mm-2200w-138898"; "HIKOKI - G23SW2W7Z MEULEUSE D'ANGLE 2200W")</f>
        <v/>
      </c>
      <c r="D29" t="inlineStr">
        <is>
          <t>HIKOKI</t>
        </is>
      </c>
      <c r="E29" t="inlineStr">
        <is>
          <t>88,82</t>
        </is>
      </c>
      <c r="F29" t="inlineStr">
        <is>
          <t>107,48</t>
        </is>
      </c>
      <c r="G29" t="inlineStr">
        <is>
          <t>TODO</t>
        </is>
      </c>
      <c r="H29" t="inlineStr">
        <is>
          <t>TODO</t>
        </is>
      </c>
      <c r="I29" t="inlineStr">
        <is>
          <t>-</t>
        </is>
      </c>
      <c r="J29" t="b">
        <v>1</v>
      </c>
      <c r="K29" t="inlineStr">
        <is>
          <t>2025-08-07 21:44:53</t>
        </is>
      </c>
    </row>
    <row r="30">
      <c r="A30" t="inlineStr">
        <is>
          <t>REF-HG5030K</t>
        </is>
      </c>
      <c r="B30" t="inlineStr">
        <is>
          <t>CIPAC</t>
        </is>
      </c>
      <c r="C30">
        <f>HYPERLINK("https://www.cipac.be/makita-hg5030k-pistolet-a-air-chaud-1600w-avec-des-acc-suppl-en-coffret-hg5030k-hg5030k?"; "MAKITA - HG5030K PISTOLET À AIR CHAUD 1600W AVEC DES ACC SUPPL EN COFFRET HG5030KDÉSTOCKAGE")</f>
        <v/>
      </c>
      <c r="D30" t="inlineStr">
        <is>
          <t>MAKITA</t>
        </is>
      </c>
      <c r="E30" t="inlineStr">
        <is>
          <t>82,45</t>
        </is>
      </c>
      <c r="F30" t="inlineStr">
        <is>
          <t>99,76</t>
        </is>
      </c>
      <c r="G30" t="inlineStr">
        <is>
          <t>TODO</t>
        </is>
      </c>
      <c r="H30" t="inlineStr">
        <is>
          <t>TODO</t>
        </is>
      </c>
      <c r="I30" t="inlineStr">
        <is>
          <t>-</t>
        </is>
      </c>
      <c r="J30" t="b">
        <v>1</v>
      </c>
      <c r="K30" t="inlineStr">
        <is>
          <t>2025-08-07 21:37:25</t>
        </is>
      </c>
    </row>
    <row r="31">
      <c r="A31" t="inlineStr">
        <is>
          <t>REF-HG5030K</t>
        </is>
      </c>
      <c r="B31" t="inlineStr">
        <is>
          <t>CLABOTS</t>
        </is>
      </c>
      <c r="C31" t="inlineStr">
        <is>
          <t>Produit indisponible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2025-08-07 21:39:20</t>
        </is>
      </c>
    </row>
    <row r="32">
      <c r="A32" t="inlineStr">
        <is>
          <t>REF-HG5030K</t>
        </is>
      </c>
      <c r="B32" t="inlineStr">
        <is>
          <t>FIXAMI</t>
        </is>
      </c>
      <c r="C32">
        <f>HYPERLINK("https://www.fixami.be/fr/decapeur-thermique-makita-hg5030k-dans-coffret-1600-w.html"; "MAKITA - DÉCAPEUR THERMIQUE  HG5030K DANS COFFRET 1600 W")</f>
        <v/>
      </c>
      <c r="D32" t="inlineStr">
        <is>
          <t>MAKITA</t>
        </is>
      </c>
      <c r="E32" t="inlineStr">
        <is>
          <t>57,28</t>
        </is>
      </c>
      <c r="F32" t="inlineStr">
        <is>
          <t>69,31</t>
        </is>
      </c>
      <c r="G32" t="inlineStr">
        <is>
          <t>TODO</t>
        </is>
      </c>
      <c r="H32" t="inlineStr">
        <is>
          <t>TODO</t>
        </is>
      </c>
      <c r="I32" t="inlineStr">
        <is>
          <t>-</t>
        </is>
      </c>
      <c r="J32" t="b">
        <v>1</v>
      </c>
      <c r="K32" t="inlineStr">
        <is>
          <t>2025-08-07 21:41:44</t>
        </is>
      </c>
    </row>
    <row r="33">
      <c r="A33" t="inlineStr">
        <is>
          <t>REF-HG5030K</t>
        </is>
      </c>
      <c r="B33" t="inlineStr">
        <is>
          <t>KLIUM</t>
        </is>
      </c>
      <c r="C33">
        <f>HYPERLINK("https://www.klium.be/fr/makita-hg5030k-pistolet-a-air-chaud-1600-w-en-mallette-106904"; "MAKITA - HG5030K PISTOLET À AIR CHAUD 1600 W EN MALLETTE")</f>
        <v/>
      </c>
      <c r="D33" t="inlineStr">
        <is>
          <t>MAKITA</t>
        </is>
      </c>
      <c r="E33" t="inlineStr">
        <is>
          <t>57,75</t>
        </is>
      </c>
      <c r="F33" t="inlineStr">
        <is>
          <t>69,88</t>
        </is>
      </c>
      <c r="G33" t="inlineStr">
        <is>
          <t>TODO</t>
        </is>
      </c>
      <c r="H33" t="inlineStr">
        <is>
          <t>TODO</t>
        </is>
      </c>
      <c r="I33" t="inlineStr">
        <is>
          <t>-</t>
        </is>
      </c>
      <c r="J33" t="b">
        <v>1</v>
      </c>
      <c r="K33" t="inlineStr">
        <is>
          <t>2025-08-07 21:44:14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2025-08-07T19:45:23Z</dcterms:created>
  <dcterms:modified xsi:type="dcterms:W3CDTF">2025-08-07T19:45:23Z</dcterms:modified>
</cp:coreProperties>
</file>