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Société</t>
        </is>
      </c>
      <c r="C1" s="1" t="inlineStr">
        <is>
          <t>Article</t>
        </is>
      </c>
      <c r="D1" s="1" t="inlineStr">
        <is>
          <t>Marque</t>
        </is>
      </c>
      <c r="E1" s="1" t="inlineStr">
        <is>
          <t>Prix (HTVA)</t>
        </is>
      </c>
      <c r="F1" s="1" t="inlineStr">
        <is>
          <t>Prix (TVA)</t>
        </is>
      </c>
      <c r="G1" s="1" t="inlineStr">
        <is>
          <t>Ancien Prix (HTVA)</t>
        </is>
      </c>
      <c r="H1" s="1" t="inlineStr">
        <is>
          <t>Evolution du prix</t>
        </is>
      </c>
      <c r="I1" s="1" t="inlineStr">
        <is>
          <t>Offres</t>
        </is>
      </c>
      <c r="J1" s="1" t="inlineStr">
        <is>
          <t>Stock</t>
        </is>
      </c>
      <c r="K1" s="1" t="inlineStr">
        <is>
          <t>Checked on</t>
        </is>
      </c>
    </row>
    <row r="2">
      <c r="A2" t="inlineStr">
        <is>
          <t>REF-105829</t>
        </is>
      </c>
      <c r="B2" t="inlineStr">
        <is>
          <t>KLIUM</t>
        </is>
      </c>
      <c r="C2">
        <f>HYPERLINK("https://www.klium.be/fr/soudal-silirub-color-silicone-neutre-ral-5011-bleu-acier-310-ml-105829-124946"; "SOUDAL - SILIRUB COLOR SILICONE NEUTRE BLEU ACIER 105829")</f>
        <v/>
      </c>
      <c r="D2" t="inlineStr">
        <is>
          <t>SOUDAL</t>
        </is>
      </c>
      <c r="E2" t="inlineStr">
        <is>
          <t>6,86</t>
        </is>
      </c>
      <c r="F2" t="inlineStr">
        <is>
          <t>8,30</t>
        </is>
      </c>
      <c r="G2" t="inlineStr">
        <is>
          <t>TODO</t>
        </is>
      </c>
      <c r="H2" t="inlineStr">
        <is>
          <t>TODO</t>
        </is>
      </c>
      <c r="I2" t="inlineStr">
        <is>
          <t>À partir de 15 pièce: 8.30€
À partir de 30 pièces: 7.47€ (- 24,89 €)
À partir de 45 pièces: 7.05€ (- 56,00 €)</t>
        </is>
      </c>
      <c r="J2" t="b">
        <v>0</v>
      </c>
      <c r="K2" t="inlineStr">
        <is>
          <t>2025-08-07 21:43:31</t>
        </is>
      </c>
    </row>
    <row r="3">
      <c r="A3" t="inlineStr">
        <is>
          <t>REF-DGA506Z</t>
        </is>
      </c>
      <c r="B3" t="inlineStr">
        <is>
          <t>KLIUM</t>
        </is>
      </c>
      <c r="C3">
        <f>HYPERLINK("https://www.klium.be/fr/makita-dga506z-meuleuse-d-angle-sans-fil-18v-lxt-125mm-avec-interrupteur-a-glissiere-dans-une-boite-en-carton-sans-batterie-ni-107221"; "MAKITA - DGA506Z MEULEUSE D'ANGLE SANS FIL 18V LXT AVEC INTERRUPTEUR À GLISSIÈRE DANS UNE BOÎTE EN CARTON (SANS BATTERIE NI")</f>
        <v/>
      </c>
      <c r="D3" t="inlineStr">
        <is>
          <t>MAKITA</t>
        </is>
      </c>
      <c r="E3" t="inlineStr">
        <is>
          <t>122,87</t>
        </is>
      </c>
      <c r="F3" t="inlineStr">
        <is>
          <t>148,68</t>
        </is>
      </c>
      <c r="G3" t="inlineStr">
        <is>
          <t>TODO</t>
        </is>
      </c>
      <c r="H3" t="inlineStr">
        <is>
          <t>TODO</t>
        </is>
      </c>
      <c r="I3" t="inlineStr">
        <is>
          <t>-</t>
        </is>
      </c>
      <c r="J3" t="b">
        <v>1</v>
      </c>
      <c r="K3" t="inlineStr">
        <is>
          <t>2025-08-07 21:43:46</t>
        </is>
      </c>
    </row>
    <row r="4">
      <c r="A4" t="inlineStr">
        <is>
          <t>REF-102392</t>
        </is>
      </c>
      <c r="B4" t="inlineStr">
        <is>
          <t>KLIUM</t>
        </is>
      </c>
      <c r="C4">
        <f>HYPERLINK("https://www.klium.be/fr/soudal-silirub-2-silicone-neutre-blanc-310-ml-102392-107168"; "SOUDAL - SILIRUB 2 SILICONE NEUTRE BLANC 102392")</f>
        <v/>
      </c>
      <c r="D4" t="inlineStr">
        <is>
          <t>SOUDAL</t>
        </is>
      </c>
      <c r="E4" t="inlineStr">
        <is>
          <t>4,97</t>
        </is>
      </c>
      <c r="F4" t="inlineStr">
        <is>
          <t>6,01</t>
        </is>
      </c>
      <c r="G4" t="inlineStr">
        <is>
          <t>TODO</t>
        </is>
      </c>
      <c r="H4" t="inlineStr">
        <is>
          <t>TODO</t>
        </is>
      </c>
      <c r="I4" t="inlineStr">
        <is>
          <t>À partir de 1 pièce: 6.01€
À partir de 15 pièces: 5.71€ (- 4,51 €)
À partir de 30 pièces: 5.56€ (- 13,53 €)
À partir de 45 pièces: 5.41€ (- 27,06 €)</t>
        </is>
      </c>
      <c r="J4" t="b">
        <v>1</v>
      </c>
      <c r="K4" t="inlineStr">
        <is>
          <t>2025-08-07 21:44:01</t>
        </is>
      </c>
    </row>
    <row r="5">
      <c r="A5" t="inlineStr">
        <is>
          <t>REF-HG5030K</t>
        </is>
      </c>
      <c r="B5" t="inlineStr">
        <is>
          <t>KLIUM</t>
        </is>
      </c>
      <c r="C5">
        <f>HYPERLINK("https://www.klium.be/fr/makita-hg5030k-pistolet-a-air-chaud-1600-w-en-mallette-106904"; "MAKITA - HG5030K PISTOLET À AIR CHAUD 1600 W EN MALLETTE")</f>
        <v/>
      </c>
      <c r="D5" t="inlineStr">
        <is>
          <t>MAKITA</t>
        </is>
      </c>
      <c r="E5" t="inlineStr">
        <is>
          <t>57,75</t>
        </is>
      </c>
      <c r="F5" t="inlineStr">
        <is>
          <t>69,88</t>
        </is>
      </c>
      <c r="G5" t="inlineStr">
        <is>
          <t>TODO</t>
        </is>
      </c>
      <c r="H5" t="inlineStr">
        <is>
          <t>TODO</t>
        </is>
      </c>
      <c r="I5" t="inlineStr">
        <is>
          <t>-</t>
        </is>
      </c>
      <c r="J5" t="b">
        <v>1</v>
      </c>
      <c r="K5" t="inlineStr">
        <is>
          <t>2025-08-07 21:44:14</t>
        </is>
      </c>
    </row>
    <row r="6">
      <c r="A6" t="inlineStr">
        <is>
          <t>REF-DCB1104P3-QW</t>
        </is>
      </c>
      <c r="B6" t="inlineStr">
        <is>
          <t>KLIUM</t>
        </is>
      </c>
      <c r="C6">
        <f>HYPERLINK("https://www.klium.be/fr/dewalt-dcb1104p3-qw-kit-de-chargement-de-la-batterie-18v-xr-3x-50ah-batterie-multi-chargeur-122568"; "DEWALT - DCB1104P3 QW KIT DE CHARGEMENT DE LA BATTERIE 18V XR")</f>
        <v/>
      </c>
      <c r="D6" t="inlineStr">
        <is>
          <t>DEWALT</t>
        </is>
      </c>
      <c r="E6" t="inlineStr">
        <is>
          <t>267,88</t>
        </is>
      </c>
      <c r="F6" t="inlineStr">
        <is>
          <t>324,13</t>
        </is>
      </c>
      <c r="G6" t="inlineStr">
        <is>
          <t>TODO</t>
        </is>
      </c>
      <c r="H6" t="inlineStr">
        <is>
          <t>TODO</t>
        </is>
      </c>
      <c r="I6" t="inlineStr">
        <is>
          <t>-</t>
        </is>
      </c>
      <c r="J6" t="b">
        <v>0</v>
      </c>
      <c r="K6" t="inlineStr">
        <is>
          <t>2025-08-07 21:44:40</t>
        </is>
      </c>
    </row>
    <row r="7">
      <c r="A7" t="inlineStr">
        <is>
          <t>REF-G23SW2W7Z</t>
        </is>
      </c>
      <c r="B7" t="inlineStr">
        <is>
          <t>KLIUM</t>
        </is>
      </c>
      <c r="C7">
        <f>HYPERLINK("https://www.klium.be/fr/hikoki-g23sw2w7z-meuleuse-d-angle-230-mm-2200w-138898"; "HIKOKI - G23SW2W7Z MEULEUSE D'ANGLE 2200W")</f>
        <v/>
      </c>
      <c r="D7" t="inlineStr">
        <is>
          <t>HIKOKI</t>
        </is>
      </c>
      <c r="E7" t="inlineStr">
        <is>
          <t>88,82</t>
        </is>
      </c>
      <c r="F7" t="inlineStr">
        <is>
          <t>107,48</t>
        </is>
      </c>
      <c r="G7" t="inlineStr">
        <is>
          <t>TODO</t>
        </is>
      </c>
      <c r="H7" t="inlineStr">
        <is>
          <t>TODO</t>
        </is>
      </c>
      <c r="I7" t="inlineStr">
        <is>
          <t>-</t>
        </is>
      </c>
      <c r="J7" t="b">
        <v>1</v>
      </c>
      <c r="K7" t="inlineStr">
        <is>
          <t>2025-08-07 21:44:53</t>
        </is>
      </c>
    </row>
    <row r="8">
      <c r="A8" t="inlineStr">
        <is>
          <t>REF-0601390909</t>
        </is>
      </c>
      <c r="B8" t="inlineStr">
        <is>
          <t>KLIUM</t>
        </is>
      </c>
      <c r="C8">
        <f>HYPERLINK("https://www.klium.be/fr/bosch-gwb-12-v-10-perceuse-d-angle-en-l-boxx-102-sans-batterie-ni-chargeur-0601390909-121142"; "BOSCH - GWB 12 V 10 PERCEUSE D'ANGLE EN L BOXX 102 0601390909")</f>
        <v/>
      </c>
      <c r="D8" t="inlineStr">
        <is>
          <t>BOSCH</t>
        </is>
      </c>
      <c r="E8" t="inlineStr">
        <is>
          <t>113,25</t>
        </is>
      </c>
      <c r="F8" t="inlineStr">
        <is>
          <t>137,03</t>
        </is>
      </c>
      <c r="G8" t="inlineStr">
        <is>
          <t>TODO</t>
        </is>
      </c>
      <c r="H8" t="inlineStr">
        <is>
          <t>TODO</t>
        </is>
      </c>
      <c r="I8" t="inlineStr">
        <is>
          <t>-</t>
        </is>
      </c>
      <c r="J8" t="b">
        <v>0</v>
      </c>
      <c r="K8" t="inlineStr">
        <is>
          <t>2025-08-07 21:45:07</t>
        </is>
      </c>
    </row>
    <row r="9">
      <c r="A9" t="inlineStr">
        <is>
          <t>REF-FS4000JX2</t>
        </is>
      </c>
      <c r="B9" t="inlineStr">
        <is>
          <t>KLIUM</t>
        </is>
      </c>
      <c r="C9">
        <f>HYPERLINK("https://www.klium.be/fr/makita-fs4000jx2-visseuse-pour-plaques-de-platre-570w-adaptateur-tournevis-en-mallette-106851"; "MAKITA - FS4000JX2 VISSEUSE POUR PLAQUES DE PLÂTRE 570W + ADAPTATEUR TOURNEVIS EN MALLETTE")</f>
        <v/>
      </c>
      <c r="D9" t="inlineStr">
        <is>
          <t>MAKITA</t>
        </is>
      </c>
      <c r="E9" t="inlineStr">
        <is>
          <t>169,65</t>
        </is>
      </c>
      <c r="F9" t="inlineStr">
        <is>
          <t>205,28</t>
        </is>
      </c>
      <c r="G9" t="inlineStr">
        <is>
          <t>TODO</t>
        </is>
      </c>
      <c r="H9" t="inlineStr">
        <is>
          <t>TODO</t>
        </is>
      </c>
      <c r="I9" t="inlineStr">
        <is>
          <t>-</t>
        </is>
      </c>
      <c r="J9" t="b">
        <v>0</v>
      </c>
      <c r="K9" t="inlineStr">
        <is>
          <t>2025-08-07 21:45:21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2025-08-07T19:45:23Z</dcterms:created>
  <dcterms:modified xsi:type="dcterms:W3CDTF">2025-08-07T19:45:23Z</dcterms:modified>
</cp:coreProperties>
</file>