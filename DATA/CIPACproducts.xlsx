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Société</t>
        </is>
      </c>
      <c r="C1" s="1" t="inlineStr">
        <is>
          <t>Article</t>
        </is>
      </c>
      <c r="D1" s="1" t="inlineStr">
        <is>
          <t>Marque</t>
        </is>
      </c>
      <c r="E1" s="1" t="inlineStr">
        <is>
          <t>Prix (HTVA)</t>
        </is>
      </c>
      <c r="F1" s="1" t="inlineStr">
        <is>
          <t>Prix (TVA)</t>
        </is>
      </c>
      <c r="G1" s="1" t="inlineStr">
        <is>
          <t>Ancien Prix (HTVA)</t>
        </is>
      </c>
      <c r="H1" s="1" t="inlineStr">
        <is>
          <t>Evolution du prix</t>
        </is>
      </c>
      <c r="I1" s="1" t="inlineStr">
        <is>
          <t>Offres</t>
        </is>
      </c>
      <c r="J1" s="1" t="inlineStr">
        <is>
          <t>Stock</t>
        </is>
      </c>
      <c r="K1" s="1" t="inlineStr">
        <is>
          <t>Checked on</t>
        </is>
      </c>
    </row>
    <row r="2">
      <c r="A2" t="inlineStr">
        <is>
          <t>REF-105829</t>
        </is>
      </c>
      <c r="B2" t="inlineStr">
        <is>
          <t>CIPAC</t>
        </is>
      </c>
      <c r="C2" t="inlineStr">
        <is>
          <t>Produit indisponible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2025-08-07 21:36:38</t>
        </is>
      </c>
    </row>
    <row r="3">
      <c r="A3" t="inlineStr">
        <is>
          <t>REF-DGA506Z</t>
        </is>
      </c>
      <c r="B3" t="inlineStr">
        <is>
          <t>CIPAC</t>
        </is>
      </c>
      <c r="C3">
        <f>HYPERLINK("https://www.cipac.be/makita-meuleuse-125mm-sur-accu-lxt-18v-sans-accus-ni-chargeur-dans-une-boite-en-carton-dga506z-dga506z?"; "MAKITA - MEULEUSE SUR ACCU LXT 18V DGA506ZDÉSTOCKAGE")</f>
        <v/>
      </c>
      <c r="D3" t="inlineStr">
        <is>
          <t>MAKITA</t>
        </is>
      </c>
      <c r="E3" t="inlineStr">
        <is>
          <t>163,93</t>
        </is>
      </c>
      <c r="F3" t="inlineStr">
        <is>
          <t>198,36</t>
        </is>
      </c>
      <c r="G3" t="inlineStr">
        <is>
          <t>TODO</t>
        </is>
      </c>
      <c r="H3" t="inlineStr">
        <is>
          <t>TODO</t>
        </is>
      </c>
      <c r="I3" t="inlineStr">
        <is>
          <t>-</t>
        </is>
      </c>
      <c r="J3" t="b">
        <v>1</v>
      </c>
      <c r="K3" t="inlineStr">
        <is>
          <t>2025-08-07 21:36:56</t>
        </is>
      </c>
    </row>
    <row r="4">
      <c r="A4" t="inlineStr">
        <is>
          <t>REF-102392</t>
        </is>
      </c>
      <c r="B4" t="inlineStr">
        <is>
          <t>CIPAC</t>
        </is>
      </c>
      <c r="C4">
        <f>HYPERLINK("https://www.cipac.be/soudal-silirub-2-blanc-cartouche-310-ml-102392-102392"; "SOUDAL - SILIRUB 2 BLANC CARTOUCHE 102392DÉSTOCKAGE")</f>
        <v/>
      </c>
      <c r="D4" t="inlineStr">
        <is>
          <t>SOUDAL</t>
        </is>
      </c>
      <c r="E4" t="inlineStr">
        <is>
          <t>4,99</t>
        </is>
      </c>
      <c r="F4" t="inlineStr">
        <is>
          <t>6,03</t>
        </is>
      </c>
      <c r="G4" t="inlineStr">
        <is>
          <t>TODO</t>
        </is>
      </c>
      <c r="H4" t="inlineStr">
        <is>
          <t>TODO</t>
        </is>
      </c>
      <c r="I4" t="inlineStr">
        <is>
          <t>-</t>
        </is>
      </c>
      <c r="J4" t="b">
        <v>1</v>
      </c>
      <c r="K4" t="inlineStr">
        <is>
          <t>2025-08-07 21:37:07</t>
        </is>
      </c>
    </row>
    <row r="5">
      <c r="A5" t="inlineStr">
        <is>
          <t>REF-HG5030K</t>
        </is>
      </c>
      <c r="B5" t="inlineStr">
        <is>
          <t>CIPAC</t>
        </is>
      </c>
      <c r="C5">
        <f>HYPERLINK("https://www.cipac.be/makita-hg5030k-pistolet-a-air-chaud-1600w-avec-des-acc-suppl-en-coffret-hg5030k-hg5030k?"; "MAKITA - HG5030K PISTOLET À AIR CHAUD 1600W AVEC DES ACC SUPPL EN COFFRET HG5030KDÉSTOCKAGE")</f>
        <v/>
      </c>
      <c r="D5" t="inlineStr">
        <is>
          <t>MAKITA</t>
        </is>
      </c>
      <c r="E5" t="inlineStr">
        <is>
          <t>82,45</t>
        </is>
      </c>
      <c r="F5" t="inlineStr">
        <is>
          <t>99,76</t>
        </is>
      </c>
      <c r="G5" t="inlineStr">
        <is>
          <t>TODO</t>
        </is>
      </c>
      <c r="H5" t="inlineStr">
        <is>
          <t>TODO</t>
        </is>
      </c>
      <c r="I5" t="inlineStr">
        <is>
          <t>-</t>
        </is>
      </c>
      <c r="J5" t="b">
        <v>1</v>
      </c>
      <c r="K5" t="inlineStr">
        <is>
          <t>2025-08-07 21:37:25</t>
        </is>
      </c>
    </row>
    <row r="6">
      <c r="A6" t="inlineStr">
        <is>
          <t>REF-DCB1104P3-QW</t>
        </is>
      </c>
      <c r="B6" t="inlineStr">
        <is>
          <t>CIPAC</t>
        </is>
      </c>
      <c r="C6">
        <f>HYPERLINK("https://www.cipac.be/dewalt-set-de-3x-18v-xr-li-ion-5-0ah-accu-chargeur-xr-multivoltage-dcb1104p3-qw-dcb1104p3-qw?"; "DEWALT - SET DE 18V XR LI ION 5,0AH ACCU + CHARGEUR XR MULTIVOLTAGE DCB1104P3 QWDÉSTOCKAGE")</f>
        <v/>
      </c>
      <c r="D6" t="inlineStr">
        <is>
          <t>DEWALT</t>
        </is>
      </c>
      <c r="E6" t="inlineStr">
        <is>
          <t>249,00</t>
        </is>
      </c>
      <c r="F6" t="inlineStr">
        <is>
          <t>301,29</t>
        </is>
      </c>
      <c r="G6" t="inlineStr">
        <is>
          <t>TODO</t>
        </is>
      </c>
      <c r="H6" t="inlineStr">
        <is>
          <t>TODO</t>
        </is>
      </c>
      <c r="I6" t="inlineStr">
        <is>
          <t>-</t>
        </is>
      </c>
      <c r="J6" t="b">
        <v>0</v>
      </c>
      <c r="K6" t="inlineStr">
        <is>
          <t>2025-08-07 21:37:42</t>
        </is>
      </c>
    </row>
    <row r="7">
      <c r="A7" t="inlineStr">
        <is>
          <t>REF-G23SW2W7Z</t>
        </is>
      </c>
      <c r="B7" t="inlineStr">
        <is>
          <t>CIPAC</t>
        </is>
      </c>
      <c r="C7">
        <f>HYPERLINK("https://www.cipac.be/hikoki-meuleuse-d-angle-230v-2-200-w-230mm-interrupteur-homme-mort-avec-disque-diamante-en-boite-carton-g23sw2w7z-g23sw2w7z?"; "HIKOKI - MEULEUSE D""ANGLE 230V 2.200 W INTERRUPTEUR HOMME MORT AVEC DISQUE DIAMANTE EN BOÎTE CARTON G23SW2W7ZDÉSTOCKAGE")</f>
        <v/>
      </c>
      <c r="D7" t="inlineStr">
        <is>
          <t>HIKOKI</t>
        </is>
      </c>
      <c r="E7" t="inlineStr">
        <is>
          <t>79,00</t>
        </is>
      </c>
      <c r="F7" t="inlineStr">
        <is>
          <t>95,59</t>
        </is>
      </c>
      <c r="G7" t="inlineStr">
        <is>
          <t>TODO</t>
        </is>
      </c>
      <c r="H7" t="inlineStr">
        <is>
          <t>TODO</t>
        </is>
      </c>
      <c r="I7" t="inlineStr">
        <is>
          <t>-</t>
        </is>
      </c>
      <c r="J7" t="b">
        <v>1</v>
      </c>
      <c r="K7" t="inlineStr">
        <is>
          <t>2025-08-07 21:37:58</t>
        </is>
      </c>
    </row>
    <row r="8">
      <c r="A8" t="inlineStr">
        <is>
          <t>REF-0601390909</t>
        </is>
      </c>
      <c r="B8" t="inlineStr">
        <is>
          <t>CIPAC</t>
        </is>
      </c>
      <c r="C8">
        <f>HYPERLINK("https://www.cipac.be/bosch-perceuse-angulaire-sans-fil-gwb-12v-10-c-g-chargeur-et-batterie-li-ion-non-livree-0601390909-0601390909"; "BOSCH - PERCEUSE ANGULAIRE SANS FIL GWB 12V 10 C&amp;G CHARGEUR ET BATTERIE LI ION NON LIVRÉE 0601390909DÉSTOCKAGE")</f>
        <v/>
      </c>
      <c r="D8" t="inlineStr">
        <is>
          <t>BOSCH</t>
        </is>
      </c>
      <c r="E8" t="inlineStr">
        <is>
          <t>150,10</t>
        </is>
      </c>
      <c r="F8" t="inlineStr">
        <is>
          <t>181,62</t>
        </is>
      </c>
      <c r="G8" t="inlineStr">
        <is>
          <t>TODO</t>
        </is>
      </c>
      <c r="H8" t="inlineStr">
        <is>
          <t>TODO</t>
        </is>
      </c>
      <c r="I8" t="inlineStr">
        <is>
          <t>-</t>
        </is>
      </c>
      <c r="J8" t="b">
        <v>1</v>
      </c>
      <c r="K8" t="inlineStr">
        <is>
          <t>2025-08-07 21:38:09</t>
        </is>
      </c>
    </row>
    <row r="9">
      <c r="A9" t="inlineStr">
        <is>
          <t>REF-FS4000JX2</t>
        </is>
      </c>
      <c r="B9" t="inlineStr">
        <is>
          <t>CIPAC</t>
        </is>
      </c>
      <c r="C9">
        <f>HYPERLINK("https://www.cipac.be/makita-visseuse-pour-plaques-de-platre-570w-avec-adaptateur-pour-vis-a-bande-fs4000jx2-fs4000jx2?"; "MAKITA - VISSEUSE POUR PLAQUES DE PLÂTRE 570W AVEC ADAPTATEUR POUR VIS À BANDE FS4000JX2DÉSTOCKAGE")</f>
        <v/>
      </c>
      <c r="D9" t="inlineStr">
        <is>
          <t>MAKITA</t>
        </is>
      </c>
      <c r="E9" t="inlineStr">
        <is>
          <t>193,03</t>
        </is>
      </c>
      <c r="F9" t="inlineStr">
        <is>
          <t>233,57</t>
        </is>
      </c>
      <c r="G9" t="inlineStr">
        <is>
          <t>TODO</t>
        </is>
      </c>
      <c r="H9" t="inlineStr">
        <is>
          <t>TODO</t>
        </is>
      </c>
      <c r="I9" t="inlineStr">
        <is>
          <t>-</t>
        </is>
      </c>
      <c r="J9" t="b">
        <v>1</v>
      </c>
      <c r="K9" t="inlineStr">
        <is>
          <t>2025-08-07 21:38:27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2025-08-07T19:38:30Z</dcterms:created>
  <dcterms:modified xsi:type="dcterms:W3CDTF">2025-08-07T19:38:30Z</dcterms:modified>
</cp:coreProperties>
</file>